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01" codeName="{2AF44A5B-4F9A-30C1-5B58-47010ADB2D0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opar\Documents\utbm\tc01\ifa1\"/>
    </mc:Choice>
  </mc:AlternateContent>
  <xr:revisionPtr revIDLastSave="0" documentId="13_ncr:1_{6B790B70-06A8-40E9-88C0-A2E9F13F83AA}" xr6:coauthVersionLast="38" xr6:coauthVersionMax="38" xr10:uidLastSave="{00000000-0000-0000-0000-000000000000}"/>
  <bookViews>
    <workbookView xWindow="0" yWindow="0" windowWidth="19200" windowHeight="6880" xr2:uid="{00000000-000D-0000-FFFF-FFFF00000000}"/>
  </bookViews>
  <sheets>
    <sheet name="commande" sheetId="1" r:id="rId1"/>
    <sheet name="Feuil2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3" i="1" l="1"/>
  <c r="F4" i="1"/>
  <c r="F5" i="1" l="1"/>
  <c r="F6" i="1"/>
  <c r="F7" i="1"/>
  <c r="F8" i="1"/>
  <c r="F9" i="1"/>
  <c r="F10" i="1"/>
  <c r="F11" i="1"/>
  <c r="F12" i="1"/>
  <c r="F13" i="1"/>
  <c r="F14" i="1"/>
  <c r="F15" i="1" l="1"/>
  <c r="F22" i="1" l="1"/>
  <c r="F16" i="1"/>
  <c r="F17" i="1" s="1"/>
  <c r="F18" i="1" s="1"/>
  <c r="F23" i="1" l="1"/>
</calcChain>
</file>

<file path=xl/sharedStrings.xml><?xml version="1.0" encoding="utf-8"?>
<sst xmlns="http://schemas.openxmlformats.org/spreadsheetml/2006/main" count="19" uniqueCount="19">
  <si>
    <t>Bon de commande ACIER</t>
  </si>
  <si>
    <t>Quantité</t>
  </si>
  <si>
    <t>Section (cy/ca)</t>
  </si>
  <si>
    <t>Longueur (m)</t>
  </si>
  <si>
    <t>Diamètre/Coté (m)</t>
  </si>
  <si>
    <t>Poids (kg)</t>
  </si>
  <si>
    <t>Total HT</t>
  </si>
  <si>
    <t>TVA</t>
  </si>
  <si>
    <t>Total TTC</t>
  </si>
  <si>
    <t>Masse volumique de l'acier :</t>
  </si>
  <si>
    <t>Prix au kg de l'acier :</t>
  </si>
  <si>
    <t>TVA :</t>
  </si>
  <si>
    <t>Frais de port (TTC)</t>
  </si>
  <si>
    <t xml:space="preserve">Frais de port </t>
  </si>
  <si>
    <t xml:space="preserve">Total commande TTC </t>
  </si>
  <si>
    <t>cout (€)</t>
  </si>
  <si>
    <t>Masse (kg)</t>
  </si>
  <si>
    <t>Masse totale</t>
  </si>
  <si>
    <t>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</si>
</sst>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.00\ &quot;F&quot;_-;\-* #,##0.00\ &quot;F&quot;_-;_-* &quot;-&quot;??\ &quot;F&quot;_-;_-@_-"/>
    <numFmt numFmtId="165" formatCode="0&quot; kg/m3&quot;"/>
    <numFmt numFmtId="166" formatCode="_-* #,##0.00\ [$€-40C]_-;\-* #,##0.00\ [$€-40C]_-;_-* &quot;-&quot;??\ [$€-40C]_-;_-@_-"/>
    <numFmt numFmtId="167" formatCode="General&quot; kg&quot;"/>
    <numFmt numFmtId="168" formatCode="#,##0.00\ &quot;€&quot;"/>
  </numFmts>
  <fonts count="7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b/>
      <sz val="20"/>
      <name val="Arial"/>
      <family val="2"/>
    </font>
    <font>
      <sz val="10"/>
      <color indexed="10"/>
      <name val="Arial"/>
      <family val="2"/>
    </font>
    <font>
      <b/>
      <sz val="10"/>
      <color indexed="8"/>
      <name val="Arial"/>
      <family val="2"/>
    </font>
    <font>
      <sz val="1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5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39">
    <xf numFmtId="0" fontId="0" fillId="0" borderId="0" xfId="0"/>
    <xf numFmtId="0" fontId="0" fillId="0" borderId="0" xfId="0" applyAlignment="1">
      <alignment horizontal="justify"/>
    </xf>
    <xf numFmtId="0" fontId="0" fillId="0" borderId="0" xfId="0" applyAlignment="1">
      <alignment horizontal="center"/>
    </xf>
    <xf numFmtId="0" fontId="3" fillId="0" borderId="0" xfId="0" applyFont="1" applyAlignment="1">
      <alignment horizontal="center"/>
    </xf>
    <xf numFmtId="0" fontId="2" fillId="2" borderId="1" xfId="0" applyFont="1" applyFill="1" applyBorder="1" applyAlignment="1">
      <alignment horizontal="justify"/>
    </xf>
    <xf numFmtId="0" fontId="2" fillId="2" borderId="2" xfId="0" applyFont="1" applyFill="1" applyBorder="1" applyAlignment="1">
      <alignment horizontal="justify"/>
    </xf>
    <xf numFmtId="0" fontId="2" fillId="2" borderId="3" xfId="0" applyFont="1" applyFill="1" applyBorder="1" applyAlignment="1">
      <alignment horizontal="justify"/>
    </xf>
    <xf numFmtId="0" fontId="0" fillId="0" borderId="0" xfId="0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5" borderId="8" xfId="0" applyFill="1" applyBorder="1" applyAlignment="1">
      <alignment horizontal="center"/>
    </xf>
    <xf numFmtId="0" fontId="0" fillId="5" borderId="9" xfId="0" applyFill="1" applyBorder="1" applyAlignment="1">
      <alignment horizontal="center"/>
    </xf>
    <xf numFmtId="0" fontId="0" fillId="0" borderId="0" xfId="0" applyAlignment="1">
      <alignment horizontal="right"/>
    </xf>
    <xf numFmtId="165" fontId="4" fillId="0" borderId="0" xfId="0" applyNumberFormat="1" applyFont="1" applyAlignment="1">
      <alignment horizontal="justify"/>
    </xf>
    <xf numFmtId="10" fontId="4" fillId="0" borderId="0" xfId="0" applyNumberFormat="1" applyFont="1" applyAlignment="1">
      <alignment horizontal="justify"/>
    </xf>
    <xf numFmtId="0" fontId="0" fillId="6" borderId="6" xfId="0" applyFill="1" applyBorder="1"/>
    <xf numFmtId="0" fontId="0" fillId="7" borderId="8" xfId="0" applyFill="1" applyBorder="1"/>
    <xf numFmtId="0" fontId="0" fillId="6" borderId="10" xfId="0" applyFill="1" applyBorder="1"/>
    <xf numFmtId="0" fontId="0" fillId="6" borderId="11" xfId="0" applyFill="1" applyBorder="1"/>
    <xf numFmtId="0" fontId="0" fillId="6" borderId="12" xfId="0" applyFill="1" applyBorder="1"/>
    <xf numFmtId="0" fontId="0" fillId="7" borderId="13" xfId="0" applyFill="1" applyBorder="1"/>
    <xf numFmtId="0" fontId="0" fillId="7" borderId="14" xfId="0" applyFill="1" applyBorder="1"/>
    <xf numFmtId="0" fontId="0" fillId="7" borderId="15" xfId="0" applyFill="1" applyBorder="1"/>
    <xf numFmtId="0" fontId="5" fillId="0" borderId="0" xfId="0" applyFont="1"/>
    <xf numFmtId="0" fontId="0" fillId="7" borderId="16" xfId="0" applyFill="1" applyBorder="1"/>
    <xf numFmtId="0" fontId="2" fillId="7" borderId="17" xfId="0" applyFont="1" applyFill="1" applyBorder="1" applyAlignment="1">
      <alignment horizontal="right"/>
    </xf>
    <xf numFmtId="0" fontId="0" fillId="8" borderId="18" xfId="0" applyFill="1" applyBorder="1"/>
    <xf numFmtId="0" fontId="2" fillId="8" borderId="19" xfId="0" applyFont="1" applyFill="1" applyBorder="1" applyAlignment="1">
      <alignment horizontal="right"/>
    </xf>
    <xf numFmtId="0" fontId="0" fillId="0" borderId="0" xfId="0" applyAlignment="1">
      <alignment horizontal="right" shrinkToFit="1"/>
    </xf>
    <xf numFmtId="166" fontId="4" fillId="0" borderId="0" xfId="1" applyNumberFormat="1" applyFont="1" applyAlignment="1">
      <alignment horizontal="left"/>
    </xf>
    <xf numFmtId="167" fontId="4" fillId="0" borderId="21" xfId="0" applyNumberFormat="1" applyFont="1" applyBorder="1" applyAlignment="1">
      <alignment horizontal="center"/>
    </xf>
    <xf numFmtId="168" fontId="0" fillId="0" borderId="1" xfId="0" applyNumberFormat="1" applyBorder="1" applyAlignment="1">
      <alignment horizontal="center"/>
    </xf>
    <xf numFmtId="168" fontId="4" fillId="0" borderId="22" xfId="0" applyNumberFormat="1" applyFont="1" applyBorder="1" applyAlignment="1">
      <alignment horizontal="center"/>
    </xf>
    <xf numFmtId="168" fontId="0" fillId="8" borderId="20" xfId="0" applyNumberFormat="1" applyFill="1" applyBorder="1" applyAlignment="1">
      <alignment horizontal="center"/>
    </xf>
    <xf numFmtId="168" fontId="6" fillId="7" borderId="23" xfId="0" applyNumberFormat="1" applyFont="1" applyFill="1" applyBorder="1" applyAlignment="1">
      <alignment horizontal="center"/>
    </xf>
  </cellXfs>
  <cellStyles count="2">
    <cellStyle name="Monétaire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F31"/>
  <sheetViews>
    <sheetView tabSelected="1" workbookViewId="0">
      <selection activeCell="F5" sqref="F5"/>
    </sheetView>
  </sheetViews>
  <sheetFormatPr baseColWidth="10" defaultRowHeight="12.5" x14ac:dyDescent="0.25"/>
  <cols>
    <col min="1" max="1" width="9.81640625" style="2" customWidth="1"/>
    <col min="2" max="2" width="8" style="2" customWidth="1"/>
    <col min="3" max="3" width="13.81640625" style="2" customWidth="1"/>
    <col min="4" max="6" width="15.7265625" style="2" customWidth="1"/>
  </cols>
  <sheetData>
    <row r="1" spans="1:6" ht="25.5" thickBot="1" x14ac:dyDescent="0.55000000000000004">
      <c r="C1" s="3" t="s">
        <v>0</v>
      </c>
    </row>
    <row r="2" spans="1:6" ht="13" thickBot="1" x14ac:dyDescent="0.3">
      <c r="B2" s="10" t="s">
        <v>1</v>
      </c>
      <c r="C2" s="8" t="s">
        <v>2</v>
      </c>
      <c r="D2" s="12" t="s">
        <v>3</v>
      </c>
      <c r="E2" s="8" t="s">
        <v>4</v>
      </c>
      <c r="F2" s="14" t="s">
        <v>16</v>
      </c>
    </row>
    <row r="3" spans="1:6" ht="13" thickBot="1" x14ac:dyDescent="0.3">
      <c r="B3" s="11">
        <v>3</v>
      </c>
      <c r="C3" s="9" t="s">
        <v>18</v>
      </c>
      <c r="D3" s="13">
        <v>12</v>
      </c>
      <c r="E3" s="9">
        <v>0.1</v>
      </c>
      <c r="F3" s="15">
        <f>B3*IF(C3="cy",D3*PI()*(E3/2)^2,E3*E3*D3)*F$27</f>
        <v>2808.0000000000009</v>
      </c>
    </row>
    <row r="4" spans="1:6" ht="13" thickBot="1" x14ac:dyDescent="0.3">
      <c r="B4" s="11"/>
      <c r="C4" s="9"/>
      <c r="D4" s="13"/>
      <c r="E4" s="9"/>
      <c r="F4" s="15">
        <f>B4*IF(C4="cy",(E4/2)^2*PI()*D4,E4*E4*D4)*F$27</f>
        <v>0</v>
      </c>
    </row>
    <row r="5" spans="1:6" ht="13" thickBot="1" x14ac:dyDescent="0.3">
      <c r="A5" s="7"/>
      <c r="B5" s="11"/>
      <c r="C5" s="9"/>
      <c r="D5" s="13"/>
      <c r="E5" s="9"/>
      <c r="F5" s="15">
        <f t="shared" ref="F5:F14" si="0">B5*IF(C5="cy",(E5/2)^2*PI()*D5,E5*E5*D5)*F$27</f>
        <v>0</v>
      </c>
    </row>
    <row r="6" spans="1:6" ht="13" thickBot="1" x14ac:dyDescent="0.3">
      <c r="A6" s="7"/>
      <c r="B6" s="11"/>
      <c r="C6" s="9"/>
      <c r="D6" s="13"/>
      <c r="E6" s="9"/>
      <c r="F6" s="15">
        <f t="shared" si="0"/>
        <v>0</v>
      </c>
    </row>
    <row r="7" spans="1:6" ht="13" thickBot="1" x14ac:dyDescent="0.3">
      <c r="A7" s="7"/>
      <c r="B7" s="11"/>
      <c r="C7" s="9"/>
      <c r="D7" s="13"/>
      <c r="E7" s="9"/>
      <c r="F7" s="15">
        <f t="shared" si="0"/>
        <v>0</v>
      </c>
    </row>
    <row r="8" spans="1:6" ht="13" thickBot="1" x14ac:dyDescent="0.3">
      <c r="A8" s="7"/>
      <c r="B8" s="11"/>
      <c r="C8" s="9"/>
      <c r="D8" s="13"/>
      <c r="E8" s="9"/>
      <c r="F8" s="15">
        <f t="shared" si="0"/>
        <v>0</v>
      </c>
    </row>
    <row r="9" spans="1:6" ht="13" thickBot="1" x14ac:dyDescent="0.3">
      <c r="A9" s="7"/>
      <c r="B9" s="11"/>
      <c r="C9" s="9"/>
      <c r="D9" s="13"/>
      <c r="E9" s="9"/>
      <c r="F9" s="15">
        <f t="shared" si="0"/>
        <v>0</v>
      </c>
    </row>
    <row r="10" spans="1:6" ht="13" thickBot="1" x14ac:dyDescent="0.3">
      <c r="A10" s="7"/>
      <c r="B10" s="11"/>
      <c r="C10" s="9"/>
      <c r="D10" s="13"/>
      <c r="E10" s="9"/>
      <c r="F10" s="15">
        <f t="shared" si="0"/>
        <v>0</v>
      </c>
    </row>
    <row r="11" spans="1:6" ht="13" thickBot="1" x14ac:dyDescent="0.3">
      <c r="A11" s="7"/>
      <c r="B11" s="11"/>
      <c r="C11" s="9"/>
      <c r="D11" s="13"/>
      <c r="E11" s="9"/>
      <c r="F11" s="15">
        <f t="shared" si="0"/>
        <v>0</v>
      </c>
    </row>
    <row r="12" spans="1:6" ht="13" thickBot="1" x14ac:dyDescent="0.3">
      <c r="A12" s="7"/>
      <c r="B12" s="11"/>
      <c r="C12" s="9"/>
      <c r="D12" s="13"/>
      <c r="E12" s="9"/>
      <c r="F12" s="15">
        <f t="shared" si="0"/>
        <v>0</v>
      </c>
    </row>
    <row r="13" spans="1:6" ht="13" thickBot="1" x14ac:dyDescent="0.3">
      <c r="A13" s="7"/>
      <c r="B13" s="11"/>
      <c r="C13" s="9"/>
      <c r="D13" s="13"/>
      <c r="E13" s="9"/>
      <c r="F13" s="15">
        <f t="shared" si="0"/>
        <v>0</v>
      </c>
    </row>
    <row r="14" spans="1:6" x14ac:dyDescent="0.25">
      <c r="A14" s="7"/>
      <c r="B14" s="11"/>
      <c r="C14" s="9"/>
      <c r="D14" s="13"/>
      <c r="E14" s="9"/>
      <c r="F14" s="15">
        <f t="shared" si="0"/>
        <v>0</v>
      </c>
    </row>
    <row r="15" spans="1:6" ht="13" x14ac:dyDescent="0.3">
      <c r="A15" s="7"/>
      <c r="E15" s="6" t="s">
        <v>17</v>
      </c>
      <c r="F15" s="34">
        <f>SUM(F3:F14)</f>
        <v>2808.0000000000009</v>
      </c>
    </row>
    <row r="16" spans="1:6" ht="13" x14ac:dyDescent="0.3">
      <c r="A16" s="7"/>
      <c r="E16" s="4" t="s">
        <v>6</v>
      </c>
      <c r="F16" s="35">
        <f>IF(F15&gt;5,F15*F28*0.85,IF(F15&gt;1.5,F15*F28*0.95,F15*F28))</f>
        <v>716.04000000000019</v>
      </c>
    </row>
    <row r="17" spans="1:6" ht="13" x14ac:dyDescent="0.3">
      <c r="A17" s="7"/>
      <c r="E17" s="4" t="s">
        <v>7</v>
      </c>
      <c r="F17" s="35">
        <f>F16*F29</f>
        <v>143.20800000000006</v>
      </c>
    </row>
    <row r="18" spans="1:6" ht="13.5" thickBot="1" x14ac:dyDescent="0.35">
      <c r="E18" s="5" t="s">
        <v>8</v>
      </c>
      <c r="F18" s="36">
        <f>F16+F17</f>
        <v>859.24800000000027</v>
      </c>
    </row>
    <row r="19" spans="1:6" ht="13" x14ac:dyDescent="0.3">
      <c r="A19" s="27" t="s">
        <v>12</v>
      </c>
      <c r="B19"/>
    </row>
    <row r="20" spans="1:6" ht="13" thickBot="1" x14ac:dyDescent="0.3">
      <c r="A20"/>
      <c r="B20"/>
    </row>
    <row r="21" spans="1:6" ht="13" thickBot="1" x14ac:dyDescent="0.3">
      <c r="A21" s="19" t="s">
        <v>5</v>
      </c>
      <c r="B21" s="20" t="s">
        <v>15</v>
      </c>
    </row>
    <row r="22" spans="1:6" ht="13.5" thickBot="1" x14ac:dyDescent="0.35">
      <c r="A22" s="21">
        <v>0</v>
      </c>
      <c r="B22" s="24">
        <v>0</v>
      </c>
      <c r="D22" s="28"/>
      <c r="E22" s="29" t="s">
        <v>13</v>
      </c>
      <c r="F22" s="38">
        <f>VLOOKUP(F15,A22:B29,2,TRUE)</f>
        <v>100</v>
      </c>
    </row>
    <row r="23" spans="1:6" ht="13.5" thickBot="1" x14ac:dyDescent="0.35">
      <c r="A23" s="22">
        <v>100</v>
      </c>
      <c r="B23" s="25">
        <v>20</v>
      </c>
      <c r="D23" s="30"/>
      <c r="E23" s="31" t="s">
        <v>14</v>
      </c>
      <c r="F23" s="37">
        <f>F18+F22</f>
        <v>959.24800000000027</v>
      </c>
    </row>
    <row r="24" spans="1:6" x14ac:dyDescent="0.25">
      <c r="A24" s="22">
        <v>250</v>
      </c>
      <c r="B24" s="25">
        <v>30</v>
      </c>
    </row>
    <row r="25" spans="1:6" x14ac:dyDescent="0.25">
      <c r="A25" s="22">
        <v>500</v>
      </c>
      <c r="B25" s="25">
        <v>50</v>
      </c>
    </row>
    <row r="26" spans="1:6" x14ac:dyDescent="0.25">
      <c r="A26" s="22">
        <v>1000</v>
      </c>
      <c r="B26" s="25">
        <v>80</v>
      </c>
    </row>
    <row r="27" spans="1:6" x14ac:dyDescent="0.25">
      <c r="A27" s="22">
        <v>2000</v>
      </c>
      <c r="B27" s="25">
        <v>100</v>
      </c>
      <c r="C27"/>
      <c r="D27" s="32"/>
      <c r="E27" s="16" t="s">
        <v>9</v>
      </c>
      <c r="F27" s="17">
        <v>7800</v>
      </c>
    </row>
    <row r="28" spans="1:6" x14ac:dyDescent="0.25">
      <c r="A28" s="22">
        <v>5000</v>
      </c>
      <c r="B28" s="25">
        <v>150</v>
      </c>
      <c r="C28"/>
      <c r="D28" s="1"/>
      <c r="E28" s="16" t="s">
        <v>10</v>
      </c>
      <c r="F28" s="33">
        <v>0.3</v>
      </c>
    </row>
    <row r="29" spans="1:6" ht="13" thickBot="1" x14ac:dyDescent="0.3">
      <c r="A29" s="23">
        <v>10000</v>
      </c>
      <c r="B29" s="26">
        <v>200</v>
      </c>
      <c r="C29"/>
      <c r="D29" s="1"/>
      <c r="E29" s="16" t="s">
        <v>11</v>
      </c>
      <c r="F29" s="18">
        <v>0.2</v>
      </c>
    </row>
    <row r="30" spans="1:6" x14ac:dyDescent="0.25">
      <c r="C30"/>
      <c r="D30"/>
      <c r="E30"/>
      <c r="F30"/>
    </row>
    <row r="31" spans="1:6" x14ac:dyDescent="0.25">
      <c r="C31" s="32"/>
    </row>
  </sheetData>
  <phoneticPr fontId="0" type="noConversion"/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"/>
  <sheetViews>
    <sheetView workbookViewId="0"/>
  </sheetViews>
  <sheetFormatPr baseColWidth="10" defaultRowHeight="12.5" x14ac:dyDescent="0.25"/>
  <sheetData/>
  <phoneticPr fontId="0" type="noConversion"/>
  <pageMargins left="0.78740157499999996" right="0.78740157499999996" top="0.984251969" bottom="0.984251969" header="0.4921259845" footer="0.492125984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commande</vt:lpstr>
      <vt:lpstr>Feuil2</vt:lpstr>
    </vt:vector>
  </TitlesOfParts>
  <Company>ufr-stgi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lacour</dc:creator>
  <cp:lastModifiedBy>lopar</cp:lastModifiedBy>
  <cp:lastPrinted>2000-06-19T07:58:41Z</cp:lastPrinted>
  <dcterms:created xsi:type="dcterms:W3CDTF">2000-06-19T06:46:39Z</dcterms:created>
  <dcterms:modified xsi:type="dcterms:W3CDTF">2018-11-23T08:47:05Z</dcterms:modified>
</cp:coreProperties>
</file>