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par\Documents\utbm\tc01\ifa1\"/>
    </mc:Choice>
  </mc:AlternateContent>
  <xr:revisionPtr revIDLastSave="0" documentId="13_ncr:1_{3ED71D13-58C7-4A97-AAD9-55C8951678CE}" xr6:coauthVersionLast="40" xr6:coauthVersionMax="40" xr10:uidLastSave="{00000000-0000-0000-0000-000000000000}"/>
  <bookViews>
    <workbookView xWindow="0" yWindow="0" windowWidth="19200" windowHeight="6880" activeTab="1" xr2:uid="{00000000-000D-0000-FFFF-FFFF00000000}"/>
  </bookViews>
  <sheets>
    <sheet name="facture" sheetId="2" r:id="rId1"/>
    <sheet name="compta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2" l="1"/>
  <c r="F8" i="3"/>
  <c r="G8" i="3" s="1"/>
  <c r="F9" i="3"/>
  <c r="G9" i="3" s="1"/>
  <c r="F7" i="3"/>
  <c r="G7" i="3" s="1"/>
  <c r="H9" i="3" l="1"/>
  <c r="H8" i="3"/>
  <c r="H7" i="3"/>
  <c r="C23" i="2"/>
  <c r="F7" i="2"/>
  <c r="F8" i="2"/>
  <c r="F9" i="2"/>
  <c r="F11" i="2"/>
  <c r="F6" i="2"/>
  <c r="E14" i="2"/>
  <c r="C2" i="2"/>
  <c r="D2" i="2" s="1"/>
  <c r="E2" i="2" s="1"/>
  <c r="F14" i="2" l="1"/>
</calcChain>
</file>

<file path=xl/sharedStrings.xml><?xml version="1.0" encoding="utf-8"?>
<sst xmlns="http://schemas.openxmlformats.org/spreadsheetml/2006/main" count="33" uniqueCount="27">
  <si>
    <t>tarifs individuels</t>
  </si>
  <si>
    <t>0 à 15 ans</t>
  </si>
  <si>
    <t>nbre de places achetées</t>
  </si>
  <si>
    <t>détail du prix à payer</t>
  </si>
  <si>
    <t>tarif de groupe par personne à partir de 10 personnes</t>
  </si>
  <si>
    <t xml:space="preserve">nous sommes le </t>
  </si>
  <si>
    <t>16 à 64 ans</t>
  </si>
  <si>
    <t>65 ans et plus</t>
  </si>
  <si>
    <t>espèces</t>
  </si>
  <si>
    <t>carte bancaire</t>
  </si>
  <si>
    <t>Totaux</t>
  </si>
  <si>
    <t>tranches d'age</t>
  </si>
  <si>
    <t>chèque</t>
  </si>
  <si>
    <t>Montant moyen par mode de paiement</t>
  </si>
  <si>
    <t>tarif normal</t>
  </si>
  <si>
    <t>tarif réduit</t>
  </si>
  <si>
    <t xml:space="preserve">age </t>
  </si>
  <si>
    <t>age</t>
  </si>
  <si>
    <t>tarif</t>
  </si>
  <si>
    <t>tarif lundi</t>
  </si>
  <si>
    <t>tout le monde</t>
  </si>
  <si>
    <t>Proportion des modes de paiement</t>
  </si>
  <si>
    <t>Date de la facture</t>
  </si>
  <si>
    <t>Client</t>
  </si>
  <si>
    <t>Montant</t>
  </si>
  <si>
    <t>Mode de paiement</t>
  </si>
  <si>
    <t>Nombre de paiements par mode de paiment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</si>
</sst>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[$€-1]_-;\-* #,##0.00\ [$€-1]_-;_-* &quot;-&quot;??\ [$€-1]_-"/>
    <numFmt numFmtId="165" formatCode="dddd"/>
  </numFmts>
  <fonts count="3" x14ac:knownFonts="1">
    <font>
      <sz val="10"/>
      <name val="Arial"/>
    </font>
    <font>
      <sz val="10"/>
      <name val="Arial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164" fontId="0" fillId="0" borderId="0" xfId="1" applyFont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center"/>
    </xf>
    <xf numFmtId="164" fontId="0" fillId="0" borderId="1" xfId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0" fillId="3" borderId="1" xfId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5" borderId="1" xfId="0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14" fontId="0" fillId="4" borderId="0" xfId="0" applyNumberFormat="1" applyFill="1"/>
    <xf numFmtId="0" fontId="0" fillId="8" borderId="1" xfId="0" applyFill="1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3" xfId="0" applyBorder="1"/>
    <xf numFmtId="14" fontId="0" fillId="9" borderId="0" xfId="0" applyNumberFormat="1" applyFill="1"/>
    <xf numFmtId="165" fontId="0" fillId="9" borderId="0" xfId="0" applyNumberFormat="1" applyFill="1" applyAlignment="1">
      <alignment horizontal="center"/>
    </xf>
    <xf numFmtId="0" fontId="0" fillId="9" borderId="0" xfId="0" applyFill="1"/>
    <xf numFmtId="164" fontId="2" fillId="10" borderId="1" xfId="1" applyFont="1" applyFill="1" applyBorder="1" applyAlignment="1">
      <alignment horizontal="center"/>
    </xf>
    <xf numFmtId="0" fontId="2" fillId="9" borderId="1" xfId="0" applyFont="1" applyFill="1" applyBorder="1"/>
    <xf numFmtId="9" fontId="0" fillId="9" borderId="1" xfId="2" applyFont="1" applyFill="1" applyBorder="1"/>
    <xf numFmtId="0" fontId="0" fillId="0" borderId="1" xfId="0" applyBorder="1" applyAlignment="1">
      <alignment horizontal="center" wrapText="1"/>
    </xf>
    <xf numFmtId="0" fontId="0" fillId="11" borderId="0" xfId="0" applyFill="1"/>
    <xf numFmtId="14" fontId="0" fillId="11" borderId="0" xfId="0" applyNumberFormat="1" applyFill="1"/>
    <xf numFmtId="0" fontId="2" fillId="4" borderId="1" xfId="0" applyFont="1" applyFill="1" applyBorder="1" applyAlignment="1">
      <alignment horizontal="center" wrapText="1"/>
    </xf>
  </cellXfs>
  <cellStyles count="3">
    <cellStyle name="Euro" xfId="1" xr:uid="{00000000-0005-0000-0000-000000000000}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13648293963254E-2"/>
          <c:y val="6.0185185185185182E-2"/>
          <c:w val="0.90286351706036749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compta!$E$7:$E$9</c:f>
              <c:strCache>
                <c:ptCount val="3"/>
                <c:pt idx="0">
                  <c:v>carte bancaire</c:v>
                </c:pt>
                <c:pt idx="1">
                  <c:v>chèque</c:v>
                </c:pt>
                <c:pt idx="2">
                  <c:v>espèces</c:v>
                </c:pt>
              </c:strCache>
            </c:strRef>
          </c:cat>
          <c:val>
            <c:numRef>
              <c:f>compta!$G$7:$G$9</c:f>
              <c:numCache>
                <c:formatCode>General</c:formatCode>
                <c:ptCount val="3"/>
                <c:pt idx="0">
                  <c:v>502</c:v>
                </c:pt>
                <c:pt idx="1">
                  <c:v>528.33333333333337</c:v>
                </c:pt>
                <c:pt idx="2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50-4827-B41F-A2A2EAA606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4235312"/>
        <c:axId val="1521829552"/>
      </c:barChart>
      <c:catAx>
        <c:axId val="167423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21829552"/>
        <c:crosses val="autoZero"/>
        <c:auto val="1"/>
        <c:lblAlgn val="ctr"/>
        <c:lblOffset val="100"/>
        <c:noMultiLvlLbl val="0"/>
      </c:catAx>
      <c:valAx>
        <c:axId val="15218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4235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18"/>
          <c:dPt>
            <c:idx val="0"/>
            <c:bubble3D val="0"/>
            <c:explosion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D5B-4C76-862A-12ED677A8EC9}"/>
              </c:ext>
            </c:extLst>
          </c:dPt>
          <c:dPt>
            <c:idx val="1"/>
            <c:bubble3D val="0"/>
            <c:explosion val="23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D5B-4C76-862A-12ED677A8EC9}"/>
              </c:ext>
            </c:extLst>
          </c:dPt>
          <c:dPt>
            <c:idx val="2"/>
            <c:bubble3D val="0"/>
            <c:explosion val="22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3D5B-4C76-862A-12ED677A8EC9}"/>
              </c:ext>
            </c:extLst>
          </c:dPt>
          <c:dLbls>
            <c:dLbl>
              <c:idx val="0"/>
              <c:layout>
                <c:manualLayout>
                  <c:x val="6.8694225721784774E-3"/>
                  <c:y val="-0.258396762904636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D5B-4C76-862A-12ED677A8EC9}"/>
                </c:ext>
              </c:extLst>
            </c:dLbl>
            <c:dLbl>
              <c:idx val="1"/>
              <c:layout>
                <c:manualLayout>
                  <c:x val="-8.7944444444444422E-2"/>
                  <c:y val="-5.22812773403324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5B-4C76-862A-12ED677A8EC9}"/>
                </c:ext>
              </c:extLst>
            </c:dLbl>
            <c:dLbl>
              <c:idx val="2"/>
              <c:layout>
                <c:manualLayout>
                  <c:x val="2.8876640419947506E-2"/>
                  <c:y val="-0.2132615193934091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5B-4C76-862A-12ED677A8E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compta!$E$7:$E$9</c:f>
              <c:strCache>
                <c:ptCount val="3"/>
                <c:pt idx="0">
                  <c:v>carte bancaire</c:v>
                </c:pt>
                <c:pt idx="1">
                  <c:v>chèque</c:v>
                </c:pt>
                <c:pt idx="2">
                  <c:v>espèces</c:v>
                </c:pt>
              </c:strCache>
            </c:strRef>
          </c:cat>
          <c:val>
            <c:numRef>
              <c:f>compta!$H$7:$H$9</c:f>
              <c:numCache>
                <c:formatCode>0%</c:formatCode>
                <c:ptCount val="3"/>
                <c:pt idx="0">
                  <c:v>0.2</c:v>
                </c:pt>
                <c:pt idx="1">
                  <c:v>0.6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5B-4C76-862A-12ED677A8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9</xdr:row>
      <xdr:rowOff>85725</xdr:rowOff>
    </xdr:from>
    <xdr:to>
      <xdr:col>8</xdr:col>
      <xdr:colOff>50800</xdr:colOff>
      <xdr:row>24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9937A3E-F8D2-4921-9224-322E6969BC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234950</xdr:colOff>
      <xdr:row>9</xdr:row>
      <xdr:rowOff>73025</xdr:rowOff>
    </xdr:from>
    <xdr:to>
      <xdr:col>6</xdr:col>
      <xdr:colOff>82550</xdr:colOff>
      <xdr:row>24</xdr:row>
      <xdr:rowOff>73025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3C3040C9-D55F-4D81-AC87-269C5FF06E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0</xdr:row>
          <xdr:rowOff>76200</xdr:rowOff>
        </xdr:from>
        <xdr:to>
          <xdr:col>5</xdr:col>
          <xdr:colOff>273050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F52EC64-3F10-4ADB-8C05-55AAB62B04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2:G23"/>
  <sheetViews>
    <sheetView workbookViewId="0">
      <selection activeCell="E3" sqref="E3"/>
    </sheetView>
  </sheetViews>
  <sheetFormatPr baseColWidth="10" defaultRowHeight="12.5" x14ac:dyDescent="0.25"/>
  <cols>
    <col min="2" max="2" width="15.26953125" customWidth="1"/>
    <col min="3" max="3" width="13.453125" customWidth="1"/>
    <col min="4" max="4" width="15.26953125" style="1" customWidth="1"/>
    <col min="5" max="5" width="21" customWidth="1"/>
    <col min="6" max="6" width="18.1796875" customWidth="1"/>
  </cols>
  <sheetData>
    <row r="2" spans="2:7" x14ac:dyDescent="0.25">
      <c r="B2" s="18" t="s">
        <v>5</v>
      </c>
      <c r="C2" s="22">
        <f ca="1">TODAY()</f>
        <v>43439</v>
      </c>
      <c r="D2" s="23">
        <f ca="1">C2</f>
        <v>43439</v>
      </c>
      <c r="E2" s="24">
        <f ca="1">WEEKDAY(D2)</f>
        <v>4</v>
      </c>
      <c r="G2" s="3"/>
    </row>
    <row r="3" spans="2:7" x14ac:dyDescent="0.25">
      <c r="B3" s="29" t="s">
        <v>22</v>
      </c>
      <c r="C3" s="30">
        <f ca="1">TODAY()</f>
        <v>43439</v>
      </c>
    </row>
    <row r="5" spans="2:7" x14ac:dyDescent="0.25">
      <c r="B5" s="20" t="s">
        <v>0</v>
      </c>
      <c r="C5" s="21" t="s">
        <v>11</v>
      </c>
      <c r="E5" s="13" t="s">
        <v>2</v>
      </c>
      <c r="F5" s="12" t="s">
        <v>3</v>
      </c>
    </row>
    <row r="6" spans="2:7" x14ac:dyDescent="0.25">
      <c r="B6" s="11" t="s">
        <v>19</v>
      </c>
      <c r="C6" s="11" t="s">
        <v>20</v>
      </c>
      <c r="D6" s="5">
        <v>4</v>
      </c>
      <c r="E6" s="6">
        <v>0</v>
      </c>
      <c r="F6" s="7">
        <f>D6*E6</f>
        <v>0</v>
      </c>
    </row>
    <row r="7" spans="2:7" x14ac:dyDescent="0.25">
      <c r="B7" s="11" t="s">
        <v>14</v>
      </c>
      <c r="C7" s="4" t="s">
        <v>6</v>
      </c>
      <c r="D7" s="5">
        <v>7.5</v>
      </c>
      <c r="E7" s="6">
        <v>274</v>
      </c>
      <c r="F7" s="7">
        <f t="shared" ref="F7:F11" si="0">D7*E7</f>
        <v>2055</v>
      </c>
    </row>
    <row r="8" spans="2:7" x14ac:dyDescent="0.25">
      <c r="B8" s="11" t="s">
        <v>15</v>
      </c>
      <c r="C8" s="4" t="s">
        <v>1</v>
      </c>
      <c r="D8" s="5">
        <v>4</v>
      </c>
      <c r="E8" s="6">
        <v>7</v>
      </c>
      <c r="F8" s="7">
        <f t="shared" si="0"/>
        <v>28</v>
      </c>
    </row>
    <row r="9" spans="2:7" x14ac:dyDescent="0.25">
      <c r="B9" s="11" t="s">
        <v>15</v>
      </c>
      <c r="C9" s="4" t="s">
        <v>7</v>
      </c>
      <c r="D9" s="5">
        <v>6</v>
      </c>
      <c r="E9" s="6">
        <v>12</v>
      </c>
      <c r="F9" s="7">
        <f t="shared" si="0"/>
        <v>72</v>
      </c>
    </row>
    <row r="10" spans="2:7" x14ac:dyDescent="0.25">
      <c r="D10" s="2"/>
      <c r="E10" s="1"/>
      <c r="F10" s="25"/>
    </row>
    <row r="11" spans="2:7" ht="24.75" customHeight="1" x14ac:dyDescent="0.25">
      <c r="B11" s="28" t="s">
        <v>4</v>
      </c>
      <c r="C11" s="28"/>
      <c r="D11" s="5">
        <v>3</v>
      </c>
      <c r="E11" s="6">
        <v>101</v>
      </c>
      <c r="F11" s="7">
        <f t="shared" si="0"/>
        <v>303</v>
      </c>
    </row>
    <row r="12" spans="2:7" x14ac:dyDescent="0.25">
      <c r="F12" s="2"/>
    </row>
    <row r="13" spans="2:7" x14ac:dyDescent="0.25">
      <c r="F13" s="1"/>
    </row>
    <row r="14" spans="2:7" x14ac:dyDescent="0.25">
      <c r="D14" s="4" t="s">
        <v>10</v>
      </c>
      <c r="E14" s="10">
        <f>SUM(E6:E11)</f>
        <v>394</v>
      </c>
      <c r="F14" s="7">
        <f>SUM(F6:F11)</f>
        <v>2458</v>
      </c>
    </row>
    <row r="17" spans="1:3" x14ac:dyDescent="0.25">
      <c r="B17" s="16" t="s">
        <v>17</v>
      </c>
      <c r="C17" s="16" t="s">
        <v>18</v>
      </c>
    </row>
    <row r="18" spans="1:3" x14ac:dyDescent="0.25">
      <c r="B18" s="16">
        <v>0</v>
      </c>
      <c r="C18" s="16">
        <v>4</v>
      </c>
    </row>
    <row r="19" spans="1:3" x14ac:dyDescent="0.25">
      <c r="B19" s="16">
        <v>16</v>
      </c>
      <c r="C19" s="16">
        <v>7.5</v>
      </c>
    </row>
    <row r="20" spans="1:3" x14ac:dyDescent="0.25">
      <c r="B20" s="16">
        <v>65</v>
      </c>
      <c r="C20" s="16">
        <v>6</v>
      </c>
    </row>
    <row r="23" spans="1:3" x14ac:dyDescent="0.25">
      <c r="A23" s="17" t="s">
        <v>16</v>
      </c>
      <c r="B23" s="17">
        <v>96</v>
      </c>
      <c r="C23" s="16">
        <f>IF(B23&gt;=B20,C20,IF(B23&gt;=B19,C19,C18))</f>
        <v>6</v>
      </c>
    </row>
  </sheetData>
  <mergeCells count="1">
    <mergeCell ref="B11:C11"/>
  </mergeCells>
  <phoneticPr fontId="0" type="noConversion"/>
  <pageMargins left="0.78740157499999996" right="0.78740157499999996" top="0.984251969" bottom="0.984251969" header="0.4921259845" footer="0.492125984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H18"/>
  <sheetViews>
    <sheetView tabSelected="1" zoomScaleNormal="100" workbookViewId="0">
      <selection activeCell="C5" sqref="C5"/>
    </sheetView>
  </sheetViews>
  <sheetFormatPr baseColWidth="10" defaultRowHeight="12.5" x14ac:dyDescent="0.25"/>
  <cols>
    <col min="1" max="1" width="13.90625" bestFit="1" customWidth="1"/>
    <col min="2" max="2" width="14.26953125" customWidth="1"/>
    <col min="3" max="3" width="15.453125" customWidth="1"/>
    <col min="4" max="4" width="25.1796875" style="1" customWidth="1"/>
    <col min="5" max="5" width="12.26953125" bestFit="1" customWidth="1"/>
    <col min="6" max="6" width="20.7265625" bestFit="1" customWidth="1"/>
    <col min="7" max="7" width="24" bestFit="1" customWidth="1"/>
    <col min="8" max="8" width="28.7265625" customWidth="1"/>
  </cols>
  <sheetData>
    <row r="1" spans="1:8" x14ac:dyDescent="0.25">
      <c r="A1" s="4" t="s">
        <v>23</v>
      </c>
      <c r="B1" s="4" t="s">
        <v>24</v>
      </c>
      <c r="C1" s="4" t="s">
        <v>25</v>
      </c>
    </row>
    <row r="2" spans="1:8" x14ac:dyDescent="0.25">
      <c r="A2" s="4">
        <v>1</v>
      </c>
      <c r="B2" s="8">
        <v>952</v>
      </c>
      <c r="C2" s="9" t="s">
        <v>12</v>
      </c>
    </row>
    <row r="3" spans="1:8" x14ac:dyDescent="0.25">
      <c r="A3" s="4"/>
      <c r="B3" s="8">
        <v>48</v>
      </c>
      <c r="C3" s="9" t="s">
        <v>12</v>
      </c>
    </row>
    <row r="4" spans="1:8" x14ac:dyDescent="0.25">
      <c r="A4" s="4">
        <v>3</v>
      </c>
      <c r="B4" s="8">
        <v>309</v>
      </c>
      <c r="C4" s="9" t="s">
        <v>8</v>
      </c>
    </row>
    <row r="5" spans="1:8" x14ac:dyDescent="0.25">
      <c r="A5" s="4">
        <v>4</v>
      </c>
      <c r="B5" s="8">
        <v>502</v>
      </c>
      <c r="C5" s="9" t="s">
        <v>9</v>
      </c>
    </row>
    <row r="6" spans="1:8" ht="25" x14ac:dyDescent="0.25">
      <c r="A6" s="4">
        <v>5</v>
      </c>
      <c r="B6" s="8">
        <v>585</v>
      </c>
      <c r="C6" s="9" t="s">
        <v>12</v>
      </c>
      <c r="F6" s="31" t="s">
        <v>26</v>
      </c>
      <c r="G6" s="19" t="s">
        <v>13</v>
      </c>
      <c r="H6" s="26" t="s">
        <v>21</v>
      </c>
    </row>
    <row r="7" spans="1:8" x14ac:dyDescent="0.25">
      <c r="A7" s="4"/>
      <c r="B7" s="8"/>
      <c r="C7" s="9"/>
      <c r="E7" s="14" t="s">
        <v>9</v>
      </c>
      <c r="F7" s="15">
        <f>COUNTIF(C:C,E7)</f>
        <v>1</v>
      </c>
      <c r="G7" s="17">
        <f>IF(F7=0,0,AVERAGEIF(C:C,E7,B:B))</f>
        <v>502</v>
      </c>
      <c r="H7" s="27">
        <f>F7/SUM(F$7:F$9)</f>
        <v>0.2</v>
      </c>
    </row>
    <row r="8" spans="1:8" x14ac:dyDescent="0.25">
      <c r="A8" s="4"/>
      <c r="B8" s="8"/>
      <c r="C8" s="9"/>
      <c r="E8" s="14" t="s">
        <v>12</v>
      </c>
      <c r="F8" s="15">
        <f>COUNTIF(C:C,E8)</f>
        <v>3</v>
      </c>
      <c r="G8" s="17">
        <f t="shared" ref="G8:G9" si="0">IF(F8=0,0,AVERAGEIF(C:C,E8,B:B))</f>
        <v>528.33333333333337</v>
      </c>
      <c r="H8" s="27">
        <f t="shared" ref="H8:H9" si="1">F8/SUM(F$7:F$9)</f>
        <v>0.6</v>
      </c>
    </row>
    <row r="9" spans="1:8" x14ac:dyDescent="0.25">
      <c r="A9" s="4"/>
      <c r="B9" s="8"/>
      <c r="C9" s="9"/>
      <c r="E9" s="14" t="s">
        <v>8</v>
      </c>
      <c r="F9" s="15">
        <f>COUNTIF(C:C,E9)</f>
        <v>1</v>
      </c>
      <c r="G9" s="17">
        <f t="shared" si="0"/>
        <v>309</v>
      </c>
      <c r="H9" s="27">
        <f t="shared" si="1"/>
        <v>0.2</v>
      </c>
    </row>
    <row r="10" spans="1:8" x14ac:dyDescent="0.25">
      <c r="A10" s="4"/>
      <c r="B10" s="8"/>
      <c r="C10" s="9"/>
    </row>
    <row r="11" spans="1:8" x14ac:dyDescent="0.25">
      <c r="A11" s="4"/>
      <c r="B11" s="8"/>
      <c r="C11" s="9"/>
    </row>
    <row r="18" ht="41.25" customHeight="1" x14ac:dyDescent="0.25"/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165100</xdr:colOff>
                <xdr:row>0</xdr:row>
                <xdr:rowOff>76200</xdr:rowOff>
              </from>
              <to>
                <xdr:col>5</xdr:col>
                <xdr:colOff>273050</xdr:colOff>
                <xdr:row>4</xdr:row>
                <xdr:rowOff>57150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facture</vt:lpstr>
      <vt:lpstr>compta</vt:lpstr>
    </vt:vector>
  </TitlesOfParts>
  <Company>UTBM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fnika</dc:creator>
  <cp:lastModifiedBy>lopar</cp:lastModifiedBy>
  <dcterms:created xsi:type="dcterms:W3CDTF">2003-01-09T09:55:12Z</dcterms:created>
  <dcterms:modified xsi:type="dcterms:W3CDTF">2018-12-05T13:59:26Z</dcterms:modified>
</cp:coreProperties>
</file>