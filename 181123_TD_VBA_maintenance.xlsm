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13_ncr:1_{F890B825-0D31-4172-9D91-FFAE5820359D}" xr6:coauthVersionLast="38" xr6:coauthVersionMax="38" xr10:uidLastSave="{00000000-0000-0000-0000-000000000000}"/>
  <bookViews>
    <workbookView xWindow="0" yWindow="0" windowWidth="19200" windowHeight="6880" xr2:uid="{00000000-000D-0000-FFFF-FFFF00000000}"/>
  </bookViews>
  <sheets>
    <sheet name="parc" sheetId="1" r:id="rId1"/>
    <sheet name="bilan" sheetId="2" r:id="rId2"/>
    <sheet name="Gestion" sheetId="4" r:id="rId3"/>
  </sheets>
  <definedNames>
    <definedName name="actuel">parc!$E$9:$E$17</definedName>
    <definedName name="derniere">parc!$D$9:$D$17</definedName>
    <definedName name="msg">parc!$F$9:$F$17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" i="1" l="1"/>
  <c r="C24" i="1" l="1"/>
  <c r="F10" i="1"/>
  <c r="F11" i="1"/>
  <c r="F12" i="1"/>
  <c r="F13" i="1"/>
  <c r="F14" i="1"/>
  <c r="F15" i="1"/>
  <c r="F16" i="1"/>
  <c r="F17" i="1"/>
  <c r="F9" i="1"/>
  <c r="F21" i="1" l="1"/>
  <c r="F22" i="1"/>
  <c r="F20" i="1"/>
</calcChain>
</file>

<file path=xl/sharedStrings.xml><?xml version="1.0" encoding="utf-8"?>
<sst xmlns="http://schemas.openxmlformats.org/spreadsheetml/2006/main" count="34" uniqueCount="33">
  <si>
    <t xml:space="preserve">On fait la vidange de chaque véhicule tous les </t>
  </si>
  <si>
    <t xml:space="preserve"> à la dernière vidange</t>
  </si>
  <si>
    <t xml:space="preserve">actuel </t>
  </si>
  <si>
    <t>1111GG90</t>
  </si>
  <si>
    <t>2222AZ90</t>
  </si>
  <si>
    <t>3333GH90</t>
  </si>
  <si>
    <t>4444LM90</t>
  </si>
  <si>
    <t>5555BN90</t>
  </si>
  <si>
    <t>6666VB90</t>
  </si>
  <si>
    <t>7777XL90</t>
  </si>
  <si>
    <t>8888WD90</t>
  </si>
  <si>
    <t>9999RT90</t>
  </si>
  <si>
    <t>206 verte</t>
  </si>
  <si>
    <t>306 bleue</t>
  </si>
  <si>
    <t>405 grise</t>
  </si>
  <si>
    <t>kangoo rose</t>
  </si>
  <si>
    <t>bmw noire</t>
  </si>
  <si>
    <t>r19 blanche</t>
  </si>
  <si>
    <t>306 jaune</t>
  </si>
  <si>
    <t>j9 blanc</t>
  </si>
  <si>
    <t>berlingo vert</t>
  </si>
  <si>
    <t>ZZZZZZZZ</t>
  </si>
  <si>
    <t>N° d'ordre</t>
  </si>
  <si>
    <t>ACV</t>
  </si>
  <si>
    <t>URG</t>
  </si>
  <si>
    <t>RAS</t>
  </si>
  <si>
    <t>Gestion des vidanges d'un parc de véhicules</t>
  </si>
  <si>
    <t>Kilométrage</t>
  </si>
  <si>
    <t>Bilan</t>
  </si>
  <si>
    <t>Nom</t>
  </si>
  <si>
    <t>Immatriculations</t>
  </si>
  <si>
    <t>Nombre de véhicules à convoquer en urgence (URG)</t>
  </si>
  <si>
    <t>Nombre de véhicules à convoquer sans urgence (ACV)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</si>
</sst>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&quot; km&quot;"/>
    <numFmt numFmtId="165" formatCode="General&quot; km&quot;"/>
    <numFmt numFmtId="166" formatCode="&quot;+/-&quot;General&quot; km&quot;"/>
  </numFmts>
  <fonts count="5" x14ac:knownFonts="1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64" fontId="0" fillId="0" borderId="0" xfId="0" applyNumberFormat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/>
    <xf numFmtId="0" fontId="0" fillId="7" borderId="0" xfId="0" applyFill="1"/>
    <xf numFmtId="0" fontId="1" fillId="0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4" fillId="0" borderId="0" xfId="0" applyFont="1"/>
    <xf numFmtId="0" fontId="0" fillId="5" borderId="0" xfId="0" applyFill="1" applyAlignment="1">
      <alignment horizontal="center"/>
    </xf>
    <xf numFmtId="165" fontId="2" fillId="9" borderId="0" xfId="0" applyNumberFormat="1" applyFont="1" applyFill="1" applyAlignment="1">
      <alignment horizontal="left"/>
    </xf>
    <xf numFmtId="0" fontId="0" fillId="0" borderId="0" xfId="0" applyNumberFormat="1"/>
    <xf numFmtId="165" fontId="0" fillId="0" borderId="0" xfId="0" applyNumberFormat="1" applyAlignment="1">
      <alignment horizontal="center"/>
    </xf>
    <xf numFmtId="166" fontId="2" fillId="10" borderId="0" xfId="0" applyNumberFormat="1" applyFont="1" applyFill="1" applyAlignment="1">
      <alignment horizontal="left"/>
    </xf>
    <xf numFmtId="0" fontId="0" fillId="6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DE1-4C0E-A76F-95F40BCF27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DE1-4C0E-A76F-95F40BCF27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DE1-4C0E-A76F-95F40BCF274D}"/>
              </c:ext>
            </c:extLst>
          </c:dPt>
          <c:cat>
            <c:strRef>
              <c:f>parc!$E$20:$E$22</c:f>
              <c:strCache>
                <c:ptCount val="3"/>
                <c:pt idx="0">
                  <c:v>ACV</c:v>
                </c:pt>
                <c:pt idx="1">
                  <c:v>URG</c:v>
                </c:pt>
                <c:pt idx="2">
                  <c:v>RAS</c:v>
                </c:pt>
              </c:strCache>
            </c:strRef>
          </c:cat>
          <c:val>
            <c:numRef>
              <c:f>parc!$F$20:$F$22</c:f>
              <c:numCache>
                <c:formatCode>General</c:formatCode>
                <c:ptCount val="3"/>
                <c:pt idx="0">
                  <c:v>1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9-440E-AA88-C916B9930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415925</xdr:colOff>
      <xdr:row>1</xdr:row>
      <xdr:rowOff>3175</xdr:rowOff>
    </xdr:from>
    <xdr:to>
      <xdr:col>6</xdr:col>
      <xdr:colOff>415925</xdr:colOff>
      <xdr:row>18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1</xdr:row>
          <xdr:rowOff>25400</xdr:rowOff>
        </xdr:from>
        <xdr:to>
          <xdr:col>9</xdr:col>
          <xdr:colOff>273050</xdr:colOff>
          <xdr:row>12</xdr:row>
          <xdr:rowOff>127000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G24"/>
  <sheetViews>
    <sheetView tabSelected="1" workbookViewId="0">
      <selection activeCell="I5" sqref="I5"/>
    </sheetView>
  </sheetViews>
  <sheetFormatPr baseColWidth="10" defaultRowHeight="12.5" x14ac:dyDescent="0.25"/>
  <cols>
    <col min="1" max="1" width="16.6328125" customWidth="1"/>
    <col min="2" max="2" width="21.81640625" customWidth="1"/>
    <col min="3" max="3" width="12.1796875" customWidth="1"/>
    <col min="4" max="4" width="22.453125" customWidth="1"/>
    <col min="5" max="5" width="13.54296875" customWidth="1"/>
    <col min="6" max="6" width="15.7265625" customWidth="1"/>
  </cols>
  <sheetData>
    <row r="2" spans="1:7" ht="15.5" x14ac:dyDescent="0.35">
      <c r="B2" s="22" t="s">
        <v>26</v>
      </c>
      <c r="C2" s="22"/>
      <c r="D2" s="22"/>
      <c r="E2" s="22"/>
      <c r="F2" s="13"/>
    </row>
    <row r="4" spans="1:7" ht="13" x14ac:dyDescent="0.3">
      <c r="B4" s="23" t="s">
        <v>0</v>
      </c>
      <c r="C4" s="23"/>
      <c r="D4" s="23"/>
      <c r="E4" s="17">
        <v>15000</v>
      </c>
      <c r="F4" s="20">
        <v>300</v>
      </c>
    </row>
    <row r="5" spans="1:7" ht="13" x14ac:dyDescent="0.3">
      <c r="B5" s="2"/>
      <c r="C5" s="2"/>
      <c r="D5" s="2"/>
      <c r="E5" s="2"/>
      <c r="F5" s="2"/>
    </row>
    <row r="6" spans="1:7" ht="13" x14ac:dyDescent="0.3">
      <c r="B6" s="2"/>
      <c r="C6" s="2"/>
      <c r="D6" s="24" t="s">
        <v>27</v>
      </c>
      <c r="E6" s="24"/>
      <c r="F6" s="2"/>
    </row>
    <row r="7" spans="1:7" ht="13" x14ac:dyDescent="0.3">
      <c r="A7" s="3" t="s">
        <v>30</v>
      </c>
      <c r="B7" s="12" t="s">
        <v>22</v>
      </c>
      <c r="C7" s="14" t="s">
        <v>29</v>
      </c>
      <c r="D7" s="4" t="s">
        <v>1</v>
      </c>
      <c r="E7" s="4" t="s">
        <v>2</v>
      </c>
      <c r="F7" s="5" t="s">
        <v>28</v>
      </c>
    </row>
    <row r="8" spans="1:7" ht="13" x14ac:dyDescent="0.3">
      <c r="A8" s="9"/>
      <c r="B8" s="15"/>
      <c r="C8" s="9"/>
      <c r="D8" s="10"/>
      <c r="E8" s="10"/>
      <c r="F8" s="9"/>
    </row>
    <row r="9" spans="1:7" x14ac:dyDescent="0.25">
      <c r="A9" t="s">
        <v>3</v>
      </c>
      <c r="B9" s="1">
        <v>1</v>
      </c>
      <c r="C9" t="s">
        <v>12</v>
      </c>
      <c r="D9" s="19">
        <v>52326</v>
      </c>
      <c r="E9" s="19">
        <v>67010</v>
      </c>
      <c r="F9" s="1" t="str">
        <f>IF(E9-D9&gt;E$4+F$4,E$21,IF(E9-D9&gt;E$4-F$4,E$20,E$22))</f>
        <v>RAS</v>
      </c>
      <c r="G9" s="6"/>
    </row>
    <row r="10" spans="1:7" x14ac:dyDescent="0.25">
      <c r="A10" t="s">
        <v>4</v>
      </c>
      <c r="B10" s="1">
        <v>2</v>
      </c>
      <c r="C10" t="s">
        <v>13</v>
      </c>
      <c r="D10" s="19">
        <v>80000</v>
      </c>
      <c r="E10" s="19">
        <v>90000</v>
      </c>
      <c r="F10" s="1" t="str">
        <f t="shared" ref="F10:F17" si="0">IF(E10-D10&gt;E$4+F$4,E$21,IF(E10-D10&gt;E$4-F$4,E$20,E$22))</f>
        <v>RAS</v>
      </c>
      <c r="G10" s="6"/>
    </row>
    <row r="11" spans="1:7" x14ac:dyDescent="0.25">
      <c r="A11" t="s">
        <v>5</v>
      </c>
      <c r="B11" s="1">
        <v>3</v>
      </c>
      <c r="C11" t="s">
        <v>16</v>
      </c>
      <c r="D11" s="19">
        <v>25125</v>
      </c>
      <c r="E11" s="19">
        <v>49566</v>
      </c>
      <c r="F11" s="1" t="str">
        <f t="shared" si="0"/>
        <v>URG</v>
      </c>
      <c r="G11" s="6"/>
    </row>
    <row r="12" spans="1:7" x14ac:dyDescent="0.25">
      <c r="A12" t="s">
        <v>6</v>
      </c>
      <c r="B12" s="1">
        <v>4</v>
      </c>
      <c r="C12" t="s">
        <v>14</v>
      </c>
      <c r="D12" s="19">
        <v>120256</v>
      </c>
      <c r="E12" s="19">
        <v>192000</v>
      </c>
      <c r="F12" s="1" t="str">
        <f t="shared" si="0"/>
        <v>URG</v>
      </c>
      <c r="G12" s="6"/>
    </row>
    <row r="13" spans="1:7" x14ac:dyDescent="0.25">
      <c r="A13" t="s">
        <v>7</v>
      </c>
      <c r="B13" s="1">
        <v>5</v>
      </c>
      <c r="C13" t="s">
        <v>15</v>
      </c>
      <c r="D13" s="19">
        <v>78025</v>
      </c>
      <c r="E13" s="19">
        <v>92412</v>
      </c>
      <c r="F13" s="1" t="str">
        <f t="shared" si="0"/>
        <v>RAS</v>
      </c>
      <c r="G13" s="6"/>
    </row>
    <row r="14" spans="1:7" x14ac:dyDescent="0.25">
      <c r="A14" t="s">
        <v>8</v>
      </c>
      <c r="B14" s="1">
        <v>6</v>
      </c>
      <c r="C14" t="s">
        <v>17</v>
      </c>
      <c r="D14" s="19">
        <v>92310</v>
      </c>
      <c r="E14" s="19">
        <v>115001</v>
      </c>
      <c r="F14" s="1" t="str">
        <f t="shared" si="0"/>
        <v>URG</v>
      </c>
      <c r="G14" s="6"/>
    </row>
    <row r="15" spans="1:7" x14ac:dyDescent="0.25">
      <c r="A15" t="s">
        <v>9</v>
      </c>
      <c r="B15" s="1">
        <v>7</v>
      </c>
      <c r="C15" t="s">
        <v>18</v>
      </c>
      <c r="D15" s="19">
        <v>74000</v>
      </c>
      <c r="E15" s="19">
        <v>74000</v>
      </c>
      <c r="F15" s="1" t="str">
        <f t="shared" si="0"/>
        <v>RAS</v>
      </c>
      <c r="G15" s="6"/>
    </row>
    <row r="16" spans="1:7" x14ac:dyDescent="0.25">
      <c r="A16" t="s">
        <v>10</v>
      </c>
      <c r="B16" s="1">
        <v>8</v>
      </c>
      <c r="C16" t="s">
        <v>19</v>
      </c>
      <c r="D16" s="19">
        <v>183045</v>
      </c>
      <c r="E16" s="19">
        <v>208000</v>
      </c>
      <c r="F16" s="1" t="str">
        <f t="shared" si="0"/>
        <v>URG</v>
      </c>
      <c r="G16" s="6"/>
    </row>
    <row r="17" spans="1:7" x14ac:dyDescent="0.25">
      <c r="A17" t="s">
        <v>11</v>
      </c>
      <c r="B17" s="1">
        <v>9</v>
      </c>
      <c r="C17" t="s">
        <v>20</v>
      </c>
      <c r="D17" s="19">
        <v>3201</v>
      </c>
      <c r="E17" s="19">
        <v>18020</v>
      </c>
      <c r="F17" s="1" t="str">
        <f t="shared" si="0"/>
        <v>ACV</v>
      </c>
      <c r="G17" s="6"/>
    </row>
    <row r="18" spans="1:7" x14ac:dyDescent="0.25">
      <c r="A18" s="15"/>
      <c r="B18" s="11" t="s">
        <v>21</v>
      </c>
    </row>
    <row r="20" spans="1:7" x14ac:dyDescent="0.25">
      <c r="B20" s="25" t="s">
        <v>32</v>
      </c>
      <c r="C20" s="25"/>
      <c r="D20" s="25"/>
      <c r="E20" s="7" t="s">
        <v>23</v>
      </c>
      <c r="F20" s="7">
        <f>COUNTIF(msg,E20)</f>
        <v>1</v>
      </c>
    </row>
    <row r="21" spans="1:7" x14ac:dyDescent="0.25">
      <c r="B21" s="21" t="s">
        <v>31</v>
      </c>
      <c r="C21" s="21"/>
      <c r="D21" s="21"/>
      <c r="E21" s="8" t="s">
        <v>24</v>
      </c>
      <c r="F21" s="16">
        <f>COUNTIF(msg,E21)</f>
        <v>4</v>
      </c>
    </row>
    <row r="22" spans="1:7" x14ac:dyDescent="0.25">
      <c r="E22" s="1" t="s">
        <v>25</v>
      </c>
      <c r="F22" s="16">
        <f>COUNTIF(msg,E22)</f>
        <v>4</v>
      </c>
    </row>
    <row r="24" spans="1:7" x14ac:dyDescent="0.25">
      <c r="A24" t="s">
        <v>7</v>
      </c>
      <c r="B24" t="str">
        <f>IF(ISNA(VLOOKUP(A24,A9:A17,1,FALSE)),"Immatriculation inconnue",A24)</f>
        <v>5555BN90</v>
      </c>
      <c r="C24">
        <f>IF(B24&lt;&gt;"Immatriculation inconnue",VLOOKUP(B24,A9:B17,2,FALSE),"")</f>
        <v>5</v>
      </c>
      <c r="E24" s="18"/>
      <c r="F24" s="1"/>
    </row>
  </sheetData>
  <mergeCells count="5">
    <mergeCell ref="B21:D21"/>
    <mergeCell ref="B2:E2"/>
    <mergeCell ref="B4:D4"/>
    <mergeCell ref="D6:E6"/>
    <mergeCell ref="B20:D20"/>
  </mergeCells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>
      <selection activeCell="I17" sqref="I17"/>
    </sheetView>
  </sheetViews>
  <sheetFormatPr baseColWidth="10" defaultRowHeight="12.5" x14ac:dyDescent="0.25"/>
  <sheetData/>
  <phoneticPr fontId="0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F4F4-30C4-4C66-8353-44519C8483CD}">
  <sheetPr codeName="Feuil3"/>
  <dimension ref="A1"/>
  <sheetViews>
    <sheetView workbookViewId="0">
      <selection activeCell="G17" sqref="G17"/>
    </sheetView>
  </sheetViews>
  <sheetFormatPr baseColWidth="10" defaultRowHeight="12.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387350</xdr:colOff>
                <xdr:row>1</xdr:row>
                <xdr:rowOff>25400</xdr:rowOff>
              </from>
              <to>
                <xdr:col>9</xdr:col>
                <xdr:colOff>273050</xdr:colOff>
                <xdr:row>12</xdr:row>
                <xdr:rowOff>127000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parc</vt:lpstr>
      <vt:lpstr>bilan</vt:lpstr>
      <vt:lpstr>Gestion</vt:lpstr>
      <vt:lpstr>actuel</vt:lpstr>
      <vt:lpstr>derniere</vt:lpstr>
      <vt:lpstr>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babe</dc:creator>
  <cp:lastModifiedBy>lopar</cp:lastModifiedBy>
  <dcterms:created xsi:type="dcterms:W3CDTF">2000-12-31T06:24:25Z</dcterms:created>
  <dcterms:modified xsi:type="dcterms:W3CDTF">2018-11-29T09:06:51Z</dcterms:modified>
</cp:coreProperties>
</file>